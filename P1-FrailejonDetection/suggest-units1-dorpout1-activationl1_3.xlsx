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1-FrailejonDetection\"/>
    </mc:Choice>
  </mc:AlternateContent>
  <xr:revisionPtr revIDLastSave="0" documentId="13_ncr:1_{8070C0D6-2DE9-440D-A93C-2962F443FCAE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Sheet1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" l="1"/>
  <c r="I26" i="2"/>
  <c r="I24" i="2"/>
  <c r="F25" i="2"/>
  <c r="F26" i="2"/>
  <c r="F24" i="2"/>
  <c r="C25" i="2"/>
  <c r="C26" i="2"/>
  <c r="C24" i="2"/>
  <c r="K22" i="2"/>
  <c r="H22" i="2"/>
  <c r="E22" i="2"/>
  <c r="J22" i="2"/>
  <c r="G22" i="2"/>
  <c r="D22" i="2"/>
  <c r="M4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</calcChain>
</file>

<file path=xl/sharedStrings.xml><?xml version="1.0" encoding="utf-8"?>
<sst xmlns="http://schemas.openxmlformats.org/spreadsheetml/2006/main" count="84" uniqueCount="18">
  <si>
    <t>val_accuracy</t>
  </si>
  <si>
    <t>dropout_l0</t>
  </si>
  <si>
    <t>dropout_l1</t>
  </si>
  <si>
    <t>dropout_l2</t>
  </si>
  <si>
    <t>learning_rate</t>
  </si>
  <si>
    <t>n_layers</t>
  </si>
  <si>
    <t>activation_l0</t>
  </si>
  <si>
    <t>n_units_l0</t>
  </si>
  <si>
    <t>activation_l1</t>
  </si>
  <si>
    <t>n_units_l1</t>
  </si>
  <si>
    <t>activation_l2</t>
  </si>
  <si>
    <t>n_units_l2</t>
  </si>
  <si>
    <t>selu</t>
  </si>
  <si>
    <t>elu</t>
  </si>
  <si>
    <t>tanh</t>
  </si>
  <si>
    <t>leaky_relu</t>
  </si>
  <si>
    <t>relu</t>
  </si>
  <si>
    <t>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</si>
</sst>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693EE-2F4C-49D9-B23C-368AA5C6BF44}" name="Table1" displayName="Table1" ref="A1:F119" totalsRowShown="0" headerRowDxfId="1" headerRowBorderDxfId="2" tableBorderDxfId="3">
  <autoFilter ref="A1:F119" xr:uid="{66C693EE-2F4C-49D9-B23C-368AA5C6BF44}">
    <filterColumn colId="0">
      <customFilters>
        <customFilter operator="greaterThanOrEqual" val="0.93"/>
      </customFilters>
    </filterColumn>
  </autoFilter>
  <tableColumns count="6">
    <tableColumn id="1" xr3:uid="{BCE5A62A-54CC-41CB-8C61-13D7C7CD792C}" name="val_accuracy"/>
    <tableColumn id="2" xr3:uid="{4F8C93DD-64DA-4491-A2DF-3D62B1ECD498}" name="dropout_l0"/>
    <tableColumn id="3" xr3:uid="{5F1F9D5B-5984-4B13-8E1F-73393555C119}" name="dropout_l1"/>
    <tableColumn id="4" xr3:uid="{55D5E0E6-A4CA-460B-9DFA-D8FEAC27DF00}" name="dropout_l2"/>
    <tableColumn id="5" xr3:uid="{EE0DD68F-8939-4DD6-B770-E0D74AC77A9F}" name="learning_rate"/>
    <tableColumn id="6" xr3:uid="{23882E4A-5361-474B-8E76-176DE83787A6}" name="pond" dataDxfId="0">
      <calculatedColumnFormula>0.6/4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59615-3918-4913-8A05-2B87B31F776E}" name="Table2" displayName="Table2" ref="A1:K22" totalsRowCount="1">
  <autoFilter ref="A1:K21" xr:uid="{C6459615-3918-4913-8A05-2B87B31F776E}"/>
  <sortState xmlns:xlrd2="http://schemas.microsoft.com/office/spreadsheetml/2017/richdata2" ref="A2:K21">
    <sortCondition descending="1" ref="A1:A21"/>
  </sortState>
  <tableColumns count="11">
    <tableColumn id="1" xr3:uid="{D07A8E31-3F34-4138-9BDE-ABFE176104D9}" name="val_accuracy"/>
    <tableColumn id="2" xr3:uid="{812AA805-E7F3-4BB3-B75D-D4387FC7DC78}" name="n_layers"/>
    <tableColumn id="3" xr3:uid="{F0DB2219-3E6C-480B-8B58-61174FFF5F9C}" name="activation_l0"/>
    <tableColumn id="4" xr3:uid="{F505054A-8859-4287-96A7-43F282EE8307}" name="n_units_l0" totalsRowFunction="custom">
      <totalsRowFormula>ROUND(SUBTOTAL(101,Table2[n_units_l0]),0)</totalsRowFormula>
    </tableColumn>
    <tableColumn id="5" xr3:uid="{90D725E7-EAEA-48EB-A5DF-77D719237C61}" name="dropout_l0" totalsRowFunction="average"/>
    <tableColumn id="6" xr3:uid="{618F57D8-24A8-4EEC-8F1A-8C6101C93D5D}" name="activation_l1"/>
    <tableColumn id="7" xr3:uid="{23036C27-FD18-4073-9183-783212564768}" name="n_units_l1" totalsRowFunction="custom">
      <totalsRowFormula>ROUND(SUBTOTAL(101,Table2[n_units_l1]),0)</totalsRowFormula>
    </tableColumn>
    <tableColumn id="8" xr3:uid="{14EE7003-52EA-4055-B661-3FC8C44AE299}" name="dropout_l1" totalsRowFunction="average"/>
    <tableColumn id="9" xr3:uid="{47A8945E-BEB0-4513-88CA-3011D27FB09E}" name="activation_l2"/>
    <tableColumn id="10" xr3:uid="{99F12BD0-8D34-4F22-8D4C-4EB9FEF137EE}" name="n_units_l2" totalsRowFunction="custom">
      <totalsRowFormula>ROUND(SUBTOTAL(101,Table2[n_units_l2]),0)</totalsRowFormula>
    </tableColumn>
    <tableColumn id="11" xr3:uid="{6C6AA6AE-2486-48EA-9652-CB04891BE1AE}" name="dropout_l2" totalsRowFunction="averag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>
      <selection activeCell="D2" sqref="D2"/>
    </sheetView>
  </sheetViews>
  <sheetFormatPr defaultRowHeight="15" x14ac:dyDescent="0.25"/>
  <cols>
    <col min="1" max="1" width="16.5703125" bestFit="1" customWidth="1"/>
    <col min="2" max="4" width="15.28515625" bestFit="1" customWidth="1"/>
    <col min="5" max="5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17</v>
      </c>
    </row>
    <row r="2" spans="1:6" x14ac:dyDescent="0.25">
      <c r="A2">
        <v>0.93999999761581421</v>
      </c>
      <c r="B2">
        <v>0.34364832294356179</v>
      </c>
      <c r="C2">
        <v>0.32461386049473201</v>
      </c>
      <c r="D2">
        <v>0.39519071493448837</v>
      </c>
      <c r="E2">
        <v>1.49953210197987E-5</v>
      </c>
      <c r="F2">
        <f t="shared" ref="F2:F33" si="0">0.6/4</f>
        <v>0.15</v>
      </c>
    </row>
    <row r="3" spans="1:6" x14ac:dyDescent="0.25">
      <c r="A3">
        <v>0.93999999761581421</v>
      </c>
      <c r="B3">
        <v>0.46569517225212231</v>
      </c>
      <c r="C3">
        <v>0.31970347355271672</v>
      </c>
      <c r="D3">
        <v>0.29589587223726782</v>
      </c>
      <c r="E3">
        <v>1.789656118367441E-5</v>
      </c>
      <c r="F3">
        <f t="shared" si="0"/>
        <v>0.15</v>
      </c>
    </row>
    <row r="4" spans="1:6" x14ac:dyDescent="0.25">
      <c r="A4">
        <v>0.93999999761581421</v>
      </c>
      <c r="B4">
        <v>0.43694656790535008</v>
      </c>
      <c r="C4">
        <v>0.39105993859327909</v>
      </c>
      <c r="D4">
        <v>0.25591466716878791</v>
      </c>
      <c r="E4">
        <v>3.6224534541179031E-5</v>
      </c>
      <c r="F4">
        <f t="shared" si="0"/>
        <v>0.15</v>
      </c>
    </row>
    <row r="5" spans="1:6" hidden="1" x14ac:dyDescent="0.25">
      <c r="A5">
        <v>0.92000001668930054</v>
      </c>
      <c r="B5">
        <v>0.49710507404259568</v>
      </c>
      <c r="C5">
        <v>0.34039979631297479</v>
      </c>
      <c r="D5">
        <v>0.32428054618642171</v>
      </c>
      <c r="E5">
        <v>3.5029613427520923E-5</v>
      </c>
      <c r="F5">
        <f t="shared" si="0"/>
        <v>0.15</v>
      </c>
    </row>
    <row r="6" spans="1:6" hidden="1" x14ac:dyDescent="0.25">
      <c r="A6">
        <v>0.92000001668930054</v>
      </c>
      <c r="B6">
        <v>0.24681184381333121</v>
      </c>
      <c r="C6">
        <v>0.48033136273964822</v>
      </c>
      <c r="D6">
        <v>0.46476131629392398</v>
      </c>
      <c r="E6">
        <v>5.7099747547640113E-5</v>
      </c>
      <c r="F6">
        <f t="shared" si="0"/>
        <v>0.15</v>
      </c>
    </row>
    <row r="7" spans="1:6" hidden="1" x14ac:dyDescent="0.25">
      <c r="A7">
        <v>0.92000001668930054</v>
      </c>
      <c r="B7">
        <v>0.40709426493848982</v>
      </c>
      <c r="C7">
        <v>0.39494342266562121</v>
      </c>
      <c r="D7">
        <v>0.38028184361591011</v>
      </c>
      <c r="E7">
        <v>6.0823024920872912E-5</v>
      </c>
      <c r="F7">
        <f t="shared" si="0"/>
        <v>0.15</v>
      </c>
    </row>
    <row r="8" spans="1:6" hidden="1" x14ac:dyDescent="0.25">
      <c r="A8">
        <v>0.92000001668930054</v>
      </c>
      <c r="B8">
        <v>0.46827065923897537</v>
      </c>
      <c r="C8">
        <v>0.44353771387885882</v>
      </c>
      <c r="D8">
        <v>0.339280860874835</v>
      </c>
      <c r="E8">
        <v>3.5390568751295651E-5</v>
      </c>
      <c r="F8">
        <f t="shared" si="0"/>
        <v>0.15</v>
      </c>
    </row>
    <row r="9" spans="1:6" hidden="1" x14ac:dyDescent="0.25">
      <c r="A9">
        <v>0.92000001668930054</v>
      </c>
      <c r="B9">
        <v>0.45245812567784249</v>
      </c>
      <c r="C9">
        <v>0.41031964769893031</v>
      </c>
      <c r="D9">
        <v>0.44213572768520909</v>
      </c>
      <c r="E9">
        <v>1.5710610727787909E-5</v>
      </c>
      <c r="F9">
        <f t="shared" si="0"/>
        <v>0.15</v>
      </c>
    </row>
    <row r="10" spans="1:6" hidden="1" x14ac:dyDescent="0.25">
      <c r="A10">
        <v>0.92000001668930054</v>
      </c>
      <c r="B10">
        <v>0.4365722989745327</v>
      </c>
      <c r="C10">
        <v>0.37107078506373747</v>
      </c>
      <c r="D10">
        <v>0.26068141707568221</v>
      </c>
      <c r="E10">
        <v>6.3937256089628678E-5</v>
      </c>
      <c r="F10">
        <f t="shared" si="0"/>
        <v>0.15</v>
      </c>
    </row>
    <row r="11" spans="1:6" hidden="1" x14ac:dyDescent="0.25">
      <c r="A11">
        <v>0.92000001668930054</v>
      </c>
      <c r="B11">
        <v>0.4286337400035764</v>
      </c>
      <c r="C11">
        <v>0.35795034849611362</v>
      </c>
      <c r="D11">
        <v>0.24580646766179301</v>
      </c>
      <c r="E11">
        <v>5.3853503067872923E-5</v>
      </c>
      <c r="F11">
        <f t="shared" si="0"/>
        <v>0.15</v>
      </c>
    </row>
    <row r="12" spans="1:6" hidden="1" x14ac:dyDescent="0.25">
      <c r="A12">
        <v>0.92000001668930054</v>
      </c>
      <c r="B12">
        <v>0.45502140223445708</v>
      </c>
      <c r="C12">
        <v>0.44818858627233138</v>
      </c>
      <c r="D12">
        <v>0.40382729440406789</v>
      </c>
      <c r="E12">
        <v>6.413020542265054E-5</v>
      </c>
      <c r="F12">
        <f t="shared" si="0"/>
        <v>0.15</v>
      </c>
    </row>
    <row r="13" spans="1:6" hidden="1" x14ac:dyDescent="0.25">
      <c r="A13">
        <v>0.92000001668930054</v>
      </c>
      <c r="B13">
        <v>0.34873658781124928</v>
      </c>
      <c r="C13">
        <v>0.3500365330316898</v>
      </c>
      <c r="D13">
        <v>0.44376344400873208</v>
      </c>
      <c r="E13">
        <v>3.5247650635403298E-5</v>
      </c>
      <c r="F13">
        <f t="shared" si="0"/>
        <v>0.15</v>
      </c>
    </row>
    <row r="14" spans="1:6" hidden="1" x14ac:dyDescent="0.25">
      <c r="A14">
        <v>0.92000001668930054</v>
      </c>
      <c r="B14">
        <v>0.43434469857545832</v>
      </c>
      <c r="C14">
        <v>0.45262021815737968</v>
      </c>
      <c r="D14">
        <v>0.2862482549694727</v>
      </c>
      <c r="E14">
        <v>1.5725883903984049E-5</v>
      </c>
      <c r="F14">
        <f t="shared" si="0"/>
        <v>0.15</v>
      </c>
    </row>
    <row r="15" spans="1:6" hidden="1" x14ac:dyDescent="0.25">
      <c r="A15">
        <v>0.92000001668930054</v>
      </c>
      <c r="B15">
        <v>0.4574201669525258</v>
      </c>
      <c r="C15">
        <v>0.33951717679129062</v>
      </c>
      <c r="D15">
        <v>0.25919865085286592</v>
      </c>
      <c r="E15">
        <v>6.4936996191908942E-5</v>
      </c>
      <c r="F15">
        <f t="shared" si="0"/>
        <v>0.15</v>
      </c>
    </row>
    <row r="16" spans="1:6" hidden="1" x14ac:dyDescent="0.25">
      <c r="A16">
        <v>0.92000001668930054</v>
      </c>
      <c r="B16">
        <v>0.46120288329571618</v>
      </c>
      <c r="C16">
        <v>0.3503599295071716</v>
      </c>
      <c r="D16">
        <v>0.27308274177282432</v>
      </c>
      <c r="E16">
        <v>6.4938078105855463E-5</v>
      </c>
      <c r="F16">
        <f t="shared" si="0"/>
        <v>0.15</v>
      </c>
    </row>
    <row r="17" spans="1:6" hidden="1" x14ac:dyDescent="0.25">
      <c r="A17">
        <v>0.92000001668930054</v>
      </c>
      <c r="B17">
        <v>0.38736261270433547</v>
      </c>
      <c r="C17">
        <v>0.37844783084018302</v>
      </c>
      <c r="D17">
        <v>0.43318269105972429</v>
      </c>
      <c r="E17">
        <v>1.7513733986443412E-5</v>
      </c>
      <c r="F17">
        <f t="shared" si="0"/>
        <v>0.15</v>
      </c>
    </row>
    <row r="18" spans="1:6" hidden="1" x14ac:dyDescent="0.25">
      <c r="A18">
        <v>0.92000001668930054</v>
      </c>
      <c r="B18">
        <v>0.37301949574936683</v>
      </c>
      <c r="C18">
        <v>0.40036373814229431</v>
      </c>
      <c r="D18">
        <v>0.3943376790049522</v>
      </c>
      <c r="E18">
        <v>1.476113482354616E-5</v>
      </c>
      <c r="F18">
        <f t="shared" si="0"/>
        <v>0.15</v>
      </c>
    </row>
    <row r="19" spans="1:6" hidden="1" x14ac:dyDescent="0.25">
      <c r="A19">
        <v>0.89999997615814209</v>
      </c>
      <c r="B19">
        <v>0.44492180475209581</v>
      </c>
      <c r="C19">
        <v>0.43811134620046532</v>
      </c>
      <c r="D19">
        <v>0.29081925139851422</v>
      </c>
      <c r="E19">
        <v>2.191689744023817E-5</v>
      </c>
      <c r="F19">
        <f t="shared" si="0"/>
        <v>0.15</v>
      </c>
    </row>
    <row r="20" spans="1:6" hidden="1" x14ac:dyDescent="0.25">
      <c r="A20">
        <v>0.89999997615814209</v>
      </c>
      <c r="B20">
        <v>0.43189654619988671</v>
      </c>
      <c r="C20">
        <v>0.35072735585040887</v>
      </c>
      <c r="D20">
        <v>0.32107827926989652</v>
      </c>
      <c r="E20">
        <v>3.450389090642504E-5</v>
      </c>
      <c r="F20">
        <f t="shared" si="0"/>
        <v>0.15</v>
      </c>
    </row>
    <row r="21" spans="1:6" hidden="1" x14ac:dyDescent="0.25">
      <c r="A21">
        <v>0.89999997615814209</v>
      </c>
      <c r="B21">
        <v>0.32862639473404759</v>
      </c>
      <c r="C21">
        <v>0.32367223041511028</v>
      </c>
      <c r="D21">
        <v>0.39887207466748592</v>
      </c>
      <c r="E21">
        <v>2.8843915701505021E-5</v>
      </c>
      <c r="F21">
        <f t="shared" si="0"/>
        <v>0.15</v>
      </c>
    </row>
    <row r="22" spans="1:6" hidden="1" x14ac:dyDescent="0.25">
      <c r="A22">
        <v>0.89999997615814209</v>
      </c>
      <c r="B22">
        <v>0.39918522098449671</v>
      </c>
      <c r="C22">
        <v>0.49081431081919907</v>
      </c>
      <c r="D22">
        <v>0.37794255300231039</v>
      </c>
      <c r="E22">
        <v>8.1620769318976126E-5</v>
      </c>
      <c r="F22">
        <f t="shared" si="0"/>
        <v>0.15</v>
      </c>
    </row>
    <row r="23" spans="1:6" hidden="1" x14ac:dyDescent="0.25">
      <c r="A23">
        <v>0.89999997615814209</v>
      </c>
      <c r="B23">
        <v>0.29560273314288998</v>
      </c>
      <c r="C23">
        <v>0.20039468976057201</v>
      </c>
      <c r="D23">
        <v>0.48791628119540642</v>
      </c>
      <c r="E23">
        <v>9.8554579551180611E-5</v>
      </c>
      <c r="F23">
        <f t="shared" si="0"/>
        <v>0.15</v>
      </c>
    </row>
    <row r="24" spans="1:6" hidden="1" x14ac:dyDescent="0.25">
      <c r="A24">
        <v>0.89999997615814209</v>
      </c>
      <c r="B24">
        <v>0.3726890375785154</v>
      </c>
      <c r="C24">
        <v>0.36579787327169011</v>
      </c>
      <c r="D24">
        <v>0.47836668671088239</v>
      </c>
      <c r="E24">
        <v>8.9302405886427583E-5</v>
      </c>
      <c r="F24">
        <f t="shared" si="0"/>
        <v>0.15</v>
      </c>
    </row>
    <row r="25" spans="1:6" hidden="1" x14ac:dyDescent="0.25">
      <c r="A25">
        <v>0.89999997615814209</v>
      </c>
      <c r="B25">
        <v>0.49289111968364691</v>
      </c>
      <c r="C25">
        <v>0.35506143184053279</v>
      </c>
      <c r="D25">
        <v>0.30334337694761382</v>
      </c>
      <c r="E25">
        <v>3.3725971006414048E-5</v>
      </c>
      <c r="F25">
        <f t="shared" si="0"/>
        <v>0.15</v>
      </c>
    </row>
    <row r="26" spans="1:6" hidden="1" x14ac:dyDescent="0.25">
      <c r="A26">
        <v>0.89999997615814209</v>
      </c>
      <c r="B26">
        <v>0.45918890988509398</v>
      </c>
      <c r="C26">
        <v>0.48595701477511838</v>
      </c>
      <c r="D26">
        <v>0.36140227699586991</v>
      </c>
      <c r="E26">
        <v>6.967510547343924E-5</v>
      </c>
      <c r="F26">
        <f t="shared" si="0"/>
        <v>0.15</v>
      </c>
    </row>
    <row r="27" spans="1:6" hidden="1" x14ac:dyDescent="0.25">
      <c r="A27">
        <v>0.89999997615814209</v>
      </c>
      <c r="B27">
        <v>0.47100042418764382</v>
      </c>
      <c r="C27">
        <v>0.44708692375708919</v>
      </c>
      <c r="D27">
        <v>0.40830339985651709</v>
      </c>
      <c r="E27">
        <v>6.6683477634029386E-5</v>
      </c>
      <c r="F27">
        <f t="shared" si="0"/>
        <v>0.15</v>
      </c>
    </row>
    <row r="28" spans="1:6" hidden="1" x14ac:dyDescent="0.25">
      <c r="A28">
        <v>0.89999997615814209</v>
      </c>
      <c r="B28">
        <v>0.44208634469843189</v>
      </c>
      <c r="C28">
        <v>0.46137481601002062</v>
      </c>
      <c r="D28">
        <v>0.2615621733573022</v>
      </c>
      <c r="E28">
        <v>2.49000395211729E-5</v>
      </c>
      <c r="F28">
        <f t="shared" si="0"/>
        <v>0.15</v>
      </c>
    </row>
    <row r="29" spans="1:6" hidden="1" x14ac:dyDescent="0.25">
      <c r="A29">
        <v>0.89999997615814209</v>
      </c>
      <c r="B29">
        <v>0.4502170037845315</v>
      </c>
      <c r="C29">
        <v>0.34205003599909412</v>
      </c>
      <c r="D29">
        <v>0.27470229225507042</v>
      </c>
      <c r="E29">
        <v>5.9360531839315298E-5</v>
      </c>
      <c r="F29">
        <f t="shared" si="0"/>
        <v>0.15</v>
      </c>
    </row>
    <row r="30" spans="1:6" hidden="1" x14ac:dyDescent="0.25">
      <c r="A30">
        <v>0.89999997615814209</v>
      </c>
      <c r="B30">
        <v>0.35775410833553478</v>
      </c>
      <c r="C30">
        <v>0.43150489394861308</v>
      </c>
      <c r="D30">
        <v>0.42627674552513328</v>
      </c>
      <c r="E30">
        <v>9.3738454366168905E-5</v>
      </c>
      <c r="F30">
        <f t="shared" si="0"/>
        <v>0.15</v>
      </c>
    </row>
    <row r="31" spans="1:6" hidden="1" x14ac:dyDescent="0.25">
      <c r="A31">
        <v>0.89999997615814209</v>
      </c>
      <c r="B31">
        <v>0.38600638215358452</v>
      </c>
      <c r="C31">
        <v>0.48540280391038992</v>
      </c>
      <c r="D31">
        <v>0.39523307971186189</v>
      </c>
      <c r="E31">
        <v>4.575572565887841E-5</v>
      </c>
      <c r="F31">
        <f t="shared" si="0"/>
        <v>0.15</v>
      </c>
    </row>
    <row r="32" spans="1:6" hidden="1" x14ac:dyDescent="0.25">
      <c r="A32">
        <v>0.89999997615814209</v>
      </c>
      <c r="B32">
        <v>0.47161962559363851</v>
      </c>
      <c r="C32">
        <v>0.34947459033057898</v>
      </c>
      <c r="D32">
        <v>0.27581114385173727</v>
      </c>
      <c r="E32">
        <v>6.0645307129757078E-5</v>
      </c>
      <c r="F32">
        <f t="shared" si="0"/>
        <v>0.15</v>
      </c>
    </row>
    <row r="33" spans="1:6" hidden="1" x14ac:dyDescent="0.25">
      <c r="A33">
        <v>0.89999997615814209</v>
      </c>
      <c r="B33">
        <v>0.4999781082838225</v>
      </c>
      <c r="C33">
        <v>0.3421820796203256</v>
      </c>
      <c r="D33">
        <v>0.2382369634205414</v>
      </c>
      <c r="E33">
        <v>1.609638745083528E-5</v>
      </c>
      <c r="F33">
        <f t="shared" si="0"/>
        <v>0.15</v>
      </c>
    </row>
    <row r="34" spans="1:6" hidden="1" x14ac:dyDescent="0.25">
      <c r="A34">
        <v>0.89999997615814209</v>
      </c>
      <c r="B34">
        <v>0.34169545022687231</v>
      </c>
      <c r="C34">
        <v>0.44383250566075899</v>
      </c>
      <c r="D34">
        <v>0.28118741828714722</v>
      </c>
      <c r="E34">
        <v>6.7738609647061086E-5</v>
      </c>
      <c r="F34">
        <f t="shared" ref="F34:F65" si="1">0.6/4</f>
        <v>0.15</v>
      </c>
    </row>
    <row r="35" spans="1:6" hidden="1" x14ac:dyDescent="0.25">
      <c r="A35">
        <v>0.89999997615814209</v>
      </c>
      <c r="B35">
        <v>0.43017670393840951</v>
      </c>
      <c r="C35">
        <v>0.39338829186795921</v>
      </c>
      <c r="D35">
        <v>0.26098888534779302</v>
      </c>
      <c r="E35">
        <v>3.2940150143249633E-5</v>
      </c>
      <c r="F35">
        <f t="shared" si="1"/>
        <v>0.15</v>
      </c>
    </row>
    <row r="36" spans="1:6" hidden="1" x14ac:dyDescent="0.25">
      <c r="A36">
        <v>0.89999997615814209</v>
      </c>
      <c r="B36">
        <v>0.44547807021005781</v>
      </c>
      <c r="C36">
        <v>0.32516390035276738</v>
      </c>
      <c r="D36">
        <v>0.25373766782085527</v>
      </c>
      <c r="E36">
        <v>6.5068225632871254E-5</v>
      </c>
      <c r="F36">
        <f t="shared" si="1"/>
        <v>0.15</v>
      </c>
    </row>
    <row r="37" spans="1:6" hidden="1" x14ac:dyDescent="0.25">
      <c r="A37">
        <v>0.89999997615814209</v>
      </c>
      <c r="B37">
        <v>0.41602018946474451</v>
      </c>
      <c r="C37">
        <v>0.38140408607004322</v>
      </c>
      <c r="D37">
        <v>0.24467678031651141</v>
      </c>
      <c r="E37">
        <v>1.6711703687186039E-5</v>
      </c>
      <c r="F37">
        <f t="shared" si="1"/>
        <v>0.15</v>
      </c>
    </row>
    <row r="38" spans="1:6" hidden="1" x14ac:dyDescent="0.25">
      <c r="A38">
        <v>0.89999997615814209</v>
      </c>
      <c r="B38">
        <v>0.43388714941954859</v>
      </c>
      <c r="C38">
        <v>0.358425247597987</v>
      </c>
      <c r="D38">
        <v>0.2358700512843307</v>
      </c>
      <c r="E38">
        <v>6.3650485132650525E-5</v>
      </c>
      <c r="F38">
        <f t="shared" si="1"/>
        <v>0.15</v>
      </c>
    </row>
    <row r="39" spans="1:6" hidden="1" x14ac:dyDescent="0.25">
      <c r="A39">
        <v>0.89999997615814209</v>
      </c>
      <c r="B39">
        <v>0.4394862593586033</v>
      </c>
      <c r="C39">
        <v>0.37264542397355588</v>
      </c>
      <c r="D39">
        <v>0.2664388725558548</v>
      </c>
      <c r="E39">
        <v>5.8080159191404558E-5</v>
      </c>
      <c r="F39">
        <f t="shared" si="1"/>
        <v>0.15</v>
      </c>
    </row>
    <row r="40" spans="1:6" hidden="1" x14ac:dyDescent="0.25">
      <c r="A40">
        <v>0.89999997615814209</v>
      </c>
      <c r="B40">
        <v>0.44226692448313232</v>
      </c>
      <c r="C40">
        <v>0.34928568459615689</v>
      </c>
      <c r="D40">
        <v>0.26916942307447478</v>
      </c>
      <c r="E40">
        <v>3.9008962695908942E-5</v>
      </c>
      <c r="F40">
        <f t="shared" si="1"/>
        <v>0.15</v>
      </c>
    </row>
    <row r="41" spans="1:6" hidden="1" x14ac:dyDescent="0.25">
      <c r="A41">
        <v>0.89999997615814209</v>
      </c>
      <c r="B41">
        <v>0.38597963286043713</v>
      </c>
      <c r="C41">
        <v>0.40386219885138469</v>
      </c>
      <c r="D41">
        <v>0.45267729627693748</v>
      </c>
      <c r="E41">
        <v>6.2134044324364706E-5</v>
      </c>
      <c r="F41">
        <f t="shared" si="1"/>
        <v>0.15</v>
      </c>
    </row>
    <row r="42" spans="1:6" hidden="1" x14ac:dyDescent="0.25">
      <c r="A42">
        <v>0.89999997615814209</v>
      </c>
      <c r="B42">
        <v>0.27890860163209868</v>
      </c>
      <c r="C42">
        <v>0.34709470075566662</v>
      </c>
      <c r="D42">
        <v>0.48283020524219089</v>
      </c>
      <c r="E42">
        <v>3.5014285527922168E-5</v>
      </c>
      <c r="F42">
        <f t="shared" si="1"/>
        <v>0.15</v>
      </c>
    </row>
    <row r="43" spans="1:6" hidden="1" x14ac:dyDescent="0.25">
      <c r="A43">
        <v>0.89999997615814209</v>
      </c>
      <c r="B43">
        <v>0.20855816802684779</v>
      </c>
      <c r="C43">
        <v>0.3408714514114084</v>
      </c>
      <c r="D43">
        <v>0.40942764619626421</v>
      </c>
      <c r="E43">
        <v>2.3501302596560368E-5</v>
      </c>
      <c r="F43">
        <f t="shared" si="1"/>
        <v>0.15</v>
      </c>
    </row>
    <row r="44" spans="1:6" hidden="1" x14ac:dyDescent="0.25">
      <c r="A44">
        <v>0.89999997615814209</v>
      </c>
      <c r="B44">
        <v>0.4612706324095654</v>
      </c>
      <c r="C44">
        <v>0.45984137844115047</v>
      </c>
      <c r="D44">
        <v>0.31477290441913908</v>
      </c>
      <c r="E44">
        <v>3.6941778741158327E-5</v>
      </c>
      <c r="F44">
        <f t="shared" si="1"/>
        <v>0.15</v>
      </c>
    </row>
    <row r="45" spans="1:6" hidden="1" x14ac:dyDescent="0.25">
      <c r="A45">
        <v>0.89999997615814209</v>
      </c>
      <c r="B45">
        <v>0.36309544883262929</v>
      </c>
      <c r="C45">
        <v>0.3793423166548075</v>
      </c>
      <c r="D45">
        <v>0.341794799006508</v>
      </c>
      <c r="E45">
        <v>2.93308386213534E-5</v>
      </c>
      <c r="F45">
        <f t="shared" si="1"/>
        <v>0.15</v>
      </c>
    </row>
    <row r="46" spans="1:6" hidden="1" x14ac:dyDescent="0.25">
      <c r="A46">
        <v>0.89999997615814209</v>
      </c>
      <c r="B46">
        <v>0.33908709618604671</v>
      </c>
      <c r="C46">
        <v>0.36598062917574031</v>
      </c>
      <c r="D46">
        <v>0.38015963900174943</v>
      </c>
      <c r="E46">
        <v>3.1846078274580238E-5</v>
      </c>
      <c r="F46">
        <f t="shared" si="1"/>
        <v>0.15</v>
      </c>
    </row>
    <row r="47" spans="1:6" hidden="1" x14ac:dyDescent="0.25">
      <c r="A47">
        <v>0.89999997615814209</v>
      </c>
      <c r="B47">
        <v>0.39491709548140552</v>
      </c>
      <c r="C47">
        <v>0.35591599595642842</v>
      </c>
      <c r="D47">
        <v>0.286033141943489</v>
      </c>
      <c r="E47">
        <v>1.404367720972985E-5</v>
      </c>
      <c r="F47">
        <f t="shared" si="1"/>
        <v>0.15</v>
      </c>
    </row>
    <row r="48" spans="1:6" hidden="1" x14ac:dyDescent="0.25">
      <c r="A48">
        <v>0.89999997615814209</v>
      </c>
      <c r="B48">
        <v>0.33958257609044329</v>
      </c>
      <c r="C48">
        <v>0.31012637281361671</v>
      </c>
      <c r="D48">
        <v>0.38998936357852798</v>
      </c>
      <c r="E48">
        <v>2.9208293900464721E-5</v>
      </c>
      <c r="F48">
        <f t="shared" si="1"/>
        <v>0.15</v>
      </c>
    </row>
    <row r="49" spans="1:6" hidden="1" x14ac:dyDescent="0.25">
      <c r="A49">
        <v>0.89999997615814209</v>
      </c>
      <c r="B49">
        <v>0.37205928124445692</v>
      </c>
      <c r="C49">
        <v>0.41832369678397552</v>
      </c>
      <c r="D49">
        <v>0.40457396191220157</v>
      </c>
      <c r="E49">
        <v>1.598336980176329E-5</v>
      </c>
      <c r="F49">
        <f t="shared" si="1"/>
        <v>0.15</v>
      </c>
    </row>
    <row r="50" spans="1:6" hidden="1" x14ac:dyDescent="0.25">
      <c r="A50">
        <v>0.89999997615814209</v>
      </c>
      <c r="B50">
        <v>0.47418142275650971</v>
      </c>
      <c r="C50">
        <v>0.32676076746146548</v>
      </c>
      <c r="D50">
        <v>0.23012437765028859</v>
      </c>
      <c r="E50">
        <v>1.540484868767638E-5</v>
      </c>
      <c r="F50">
        <f t="shared" si="1"/>
        <v>0.15</v>
      </c>
    </row>
    <row r="51" spans="1:6" hidden="1" x14ac:dyDescent="0.25">
      <c r="A51">
        <v>0.87999999523162842</v>
      </c>
      <c r="B51">
        <v>0.40277094035320232</v>
      </c>
      <c r="C51">
        <v>0.32448091261644962</v>
      </c>
      <c r="D51">
        <v>0.46553084925447968</v>
      </c>
      <c r="E51">
        <v>1.8580145446862109E-5</v>
      </c>
      <c r="F51">
        <f t="shared" si="1"/>
        <v>0.15</v>
      </c>
    </row>
    <row r="52" spans="1:6" hidden="1" x14ac:dyDescent="0.25">
      <c r="A52">
        <v>0.87999999523162842</v>
      </c>
      <c r="B52">
        <v>0.2225885529578232</v>
      </c>
      <c r="C52">
        <v>0.48991888188994148</v>
      </c>
      <c r="D52">
        <v>0.33141904232187119</v>
      </c>
      <c r="E52">
        <v>1.520729762104284E-5</v>
      </c>
      <c r="F52">
        <f t="shared" si="1"/>
        <v>0.15</v>
      </c>
    </row>
    <row r="53" spans="1:6" hidden="1" x14ac:dyDescent="0.25">
      <c r="A53">
        <v>0.87999999523162842</v>
      </c>
      <c r="B53">
        <v>0.25444884617008101</v>
      </c>
      <c r="C53">
        <v>0.40153031723550631</v>
      </c>
      <c r="D53">
        <v>0.25521131713019751</v>
      </c>
      <c r="E53">
        <v>5.4475546191441518E-5</v>
      </c>
      <c r="F53">
        <f t="shared" si="1"/>
        <v>0.15</v>
      </c>
    </row>
    <row r="54" spans="1:6" hidden="1" x14ac:dyDescent="0.25">
      <c r="A54">
        <v>0.87999999523162842</v>
      </c>
      <c r="B54">
        <v>0.3800272185974225</v>
      </c>
      <c r="C54">
        <v>0.37144399108975878</v>
      </c>
      <c r="D54">
        <v>0.47885705522694222</v>
      </c>
      <c r="E54">
        <v>2.1214198146716741E-5</v>
      </c>
      <c r="F54">
        <f t="shared" si="1"/>
        <v>0.15</v>
      </c>
    </row>
    <row r="55" spans="1:6" hidden="1" x14ac:dyDescent="0.25">
      <c r="A55">
        <v>0.87999999523162842</v>
      </c>
      <c r="B55">
        <v>0.49720801328330377</v>
      </c>
      <c r="C55">
        <v>0.46598069423128219</v>
      </c>
      <c r="D55">
        <v>0.45735374158378661</v>
      </c>
      <c r="E55">
        <v>9.9001967602873283E-5</v>
      </c>
      <c r="F55">
        <f t="shared" si="1"/>
        <v>0.15</v>
      </c>
    </row>
    <row r="56" spans="1:6" hidden="1" x14ac:dyDescent="0.25">
      <c r="A56">
        <v>0.87999999523162842</v>
      </c>
      <c r="B56">
        <v>0.27022773044074488</v>
      </c>
      <c r="C56">
        <v>0.3138135525275681</v>
      </c>
      <c r="D56">
        <v>0.39592676730338811</v>
      </c>
      <c r="E56">
        <v>3.3166102771101532E-5</v>
      </c>
      <c r="F56">
        <f t="shared" si="1"/>
        <v>0.15</v>
      </c>
    </row>
    <row r="57" spans="1:6" hidden="1" x14ac:dyDescent="0.25">
      <c r="A57">
        <v>0.87999999523162842</v>
      </c>
      <c r="B57">
        <v>0.41562693172038268</v>
      </c>
      <c r="C57">
        <v>0.41980393674471023</v>
      </c>
      <c r="D57">
        <v>0.24178979169167319</v>
      </c>
      <c r="E57">
        <v>2.61756763635464E-5</v>
      </c>
      <c r="F57">
        <f t="shared" si="1"/>
        <v>0.15</v>
      </c>
    </row>
    <row r="58" spans="1:6" hidden="1" x14ac:dyDescent="0.25">
      <c r="A58">
        <v>0.87999999523162842</v>
      </c>
      <c r="B58">
        <v>0.45543085709203068</v>
      </c>
      <c r="C58">
        <v>0.3498312691890062</v>
      </c>
      <c r="D58">
        <v>0.25751449683917099</v>
      </c>
      <c r="E58">
        <v>6.7099997857170119E-5</v>
      </c>
      <c r="F58">
        <f t="shared" si="1"/>
        <v>0.15</v>
      </c>
    </row>
    <row r="59" spans="1:6" hidden="1" x14ac:dyDescent="0.25">
      <c r="A59">
        <v>0.87999999523162842</v>
      </c>
      <c r="B59">
        <v>0.42839267473332637</v>
      </c>
      <c r="C59">
        <v>0.41697479952857769</v>
      </c>
      <c r="D59">
        <v>0.30435104833088089</v>
      </c>
      <c r="E59">
        <v>1.5109170105924699E-5</v>
      </c>
      <c r="F59">
        <f t="shared" si="1"/>
        <v>0.15</v>
      </c>
    </row>
    <row r="60" spans="1:6" hidden="1" x14ac:dyDescent="0.25">
      <c r="A60">
        <v>0.87999999523162842</v>
      </c>
      <c r="B60">
        <v>0.36020895240056833</v>
      </c>
      <c r="C60">
        <v>0.32784480887867218</v>
      </c>
      <c r="D60">
        <v>0.22040316786344669</v>
      </c>
      <c r="E60">
        <v>3.4128108406471079E-5</v>
      </c>
      <c r="F60">
        <f t="shared" si="1"/>
        <v>0.15</v>
      </c>
    </row>
    <row r="61" spans="1:6" hidden="1" x14ac:dyDescent="0.25">
      <c r="A61">
        <v>0.87999999523162842</v>
      </c>
      <c r="B61">
        <v>0.40014968285063879</v>
      </c>
      <c r="C61">
        <v>0.28680069820199089</v>
      </c>
      <c r="D61">
        <v>0.38915136713978321</v>
      </c>
      <c r="E61">
        <v>8.593423016969493E-5</v>
      </c>
      <c r="F61">
        <f t="shared" si="1"/>
        <v>0.15</v>
      </c>
    </row>
    <row r="62" spans="1:6" hidden="1" x14ac:dyDescent="0.25">
      <c r="A62">
        <v>0.87999999523162842</v>
      </c>
      <c r="B62">
        <v>0.46077335938550218</v>
      </c>
      <c r="C62">
        <v>0.35576921386541371</v>
      </c>
      <c r="D62">
        <v>0.26269348004046722</v>
      </c>
      <c r="E62">
        <v>6.6741288952729979E-5</v>
      </c>
      <c r="F62">
        <f t="shared" si="1"/>
        <v>0.15</v>
      </c>
    </row>
    <row r="63" spans="1:6" hidden="1" x14ac:dyDescent="0.25">
      <c r="A63">
        <v>0.87999999523162842</v>
      </c>
      <c r="B63">
        <v>0.26350849583482988</v>
      </c>
      <c r="C63">
        <v>0.47585943781492263</v>
      </c>
      <c r="D63">
        <v>0.40444540302560628</v>
      </c>
      <c r="E63">
        <v>7.2840027170693715E-5</v>
      </c>
      <c r="F63">
        <f t="shared" si="1"/>
        <v>0.15</v>
      </c>
    </row>
    <row r="64" spans="1:6" hidden="1" x14ac:dyDescent="0.25">
      <c r="A64">
        <v>0.87999999523162842</v>
      </c>
      <c r="B64">
        <v>0.36470654632334842</v>
      </c>
      <c r="C64">
        <v>0.4964307632973724</v>
      </c>
      <c r="D64">
        <v>0.38996585981669152</v>
      </c>
      <c r="E64">
        <v>8.1559750648445796E-5</v>
      </c>
      <c r="F64">
        <f t="shared" si="1"/>
        <v>0.15</v>
      </c>
    </row>
    <row r="65" spans="1:6" hidden="1" x14ac:dyDescent="0.25">
      <c r="A65">
        <v>0.87999999523162842</v>
      </c>
      <c r="B65">
        <v>0.39063970432931111</v>
      </c>
      <c r="C65">
        <v>0.41086461910337829</v>
      </c>
      <c r="D65">
        <v>0.38061457448515701</v>
      </c>
      <c r="E65">
        <v>1.1971086121188259E-5</v>
      </c>
      <c r="F65">
        <f t="shared" si="1"/>
        <v>0.15</v>
      </c>
    </row>
    <row r="66" spans="1:6" hidden="1" x14ac:dyDescent="0.25">
      <c r="A66">
        <v>0.87999999523162842</v>
      </c>
      <c r="B66">
        <v>0.43937752000724578</v>
      </c>
      <c r="C66">
        <v>0.4437238949902757</v>
      </c>
      <c r="D66">
        <v>0.46196780123680259</v>
      </c>
      <c r="E66">
        <v>5.0085388174256619E-5</v>
      </c>
      <c r="F66">
        <f t="shared" ref="F66:F97" si="2">0.6/4</f>
        <v>0.15</v>
      </c>
    </row>
    <row r="67" spans="1:6" hidden="1" x14ac:dyDescent="0.25">
      <c r="A67">
        <v>0.87999999523162842</v>
      </c>
      <c r="B67">
        <v>0.4757920809130729</v>
      </c>
      <c r="C67">
        <v>0.46549818702271117</v>
      </c>
      <c r="D67">
        <v>0.35698873620803312</v>
      </c>
      <c r="E67">
        <v>5.6460364975658011E-5</v>
      </c>
      <c r="F67">
        <f t="shared" si="2"/>
        <v>0.15</v>
      </c>
    </row>
    <row r="68" spans="1:6" hidden="1" x14ac:dyDescent="0.25">
      <c r="A68">
        <v>0.87999999523162842</v>
      </c>
      <c r="B68">
        <v>0.48647028651865581</v>
      </c>
      <c r="C68">
        <v>0.41418071469952061</v>
      </c>
      <c r="D68">
        <v>0.25201884386020018</v>
      </c>
      <c r="E68">
        <v>2.262348652335294E-5</v>
      </c>
      <c r="F68">
        <f t="shared" si="2"/>
        <v>0.15</v>
      </c>
    </row>
    <row r="69" spans="1:6" hidden="1" x14ac:dyDescent="0.25">
      <c r="A69">
        <v>0.87999999523162842</v>
      </c>
      <c r="B69">
        <v>0.35312591216801692</v>
      </c>
      <c r="C69">
        <v>0.2289457580163787</v>
      </c>
      <c r="D69">
        <v>0.45420489747713172</v>
      </c>
      <c r="E69">
        <v>3.9148533413409802E-5</v>
      </c>
      <c r="F69">
        <f t="shared" si="2"/>
        <v>0.15</v>
      </c>
    </row>
    <row r="70" spans="1:6" hidden="1" x14ac:dyDescent="0.25">
      <c r="A70">
        <v>0.87999999523162842</v>
      </c>
      <c r="B70">
        <v>0.48073707300759672</v>
      </c>
      <c r="C70">
        <v>0.39041908057151309</v>
      </c>
      <c r="D70">
        <v>0.40158674380366532</v>
      </c>
      <c r="E70">
        <v>6.3717833434869201E-5</v>
      </c>
      <c r="F70">
        <f t="shared" si="2"/>
        <v>0.15</v>
      </c>
    </row>
    <row r="71" spans="1:6" hidden="1" x14ac:dyDescent="0.25">
      <c r="A71">
        <v>0.87999999523162842</v>
      </c>
      <c r="B71">
        <v>0.23883042295552359</v>
      </c>
      <c r="C71">
        <v>0.30200157757141388</v>
      </c>
      <c r="D71">
        <v>0.46947282710167132</v>
      </c>
      <c r="E71">
        <v>3.7195472876296367E-5</v>
      </c>
      <c r="F71">
        <f t="shared" si="2"/>
        <v>0.15</v>
      </c>
    </row>
    <row r="72" spans="1:6" hidden="1" x14ac:dyDescent="0.25">
      <c r="A72">
        <v>0.87999999523162842</v>
      </c>
      <c r="B72">
        <v>0.42904185289740671</v>
      </c>
      <c r="C72">
        <v>0.36288051543819982</v>
      </c>
      <c r="D72">
        <v>0.47502885588435639</v>
      </c>
      <c r="E72">
        <v>5.6577599953955857E-5</v>
      </c>
      <c r="F72">
        <f t="shared" si="2"/>
        <v>0.15</v>
      </c>
    </row>
    <row r="73" spans="1:6" hidden="1" x14ac:dyDescent="0.25">
      <c r="A73">
        <v>0.87999999523162842</v>
      </c>
      <c r="B73">
        <v>0.28836843986228777</v>
      </c>
      <c r="C73">
        <v>0.35358772983836878</v>
      </c>
      <c r="D73">
        <v>0.37605316610201511</v>
      </c>
      <c r="E73">
        <v>2.1111610885453769E-5</v>
      </c>
      <c r="F73">
        <f t="shared" si="2"/>
        <v>0.15</v>
      </c>
    </row>
    <row r="74" spans="1:6" hidden="1" x14ac:dyDescent="0.25">
      <c r="A74">
        <v>0.87999999523162842</v>
      </c>
      <c r="B74">
        <v>0.34812054860688052</v>
      </c>
      <c r="C74">
        <v>0.36162569837644121</v>
      </c>
      <c r="D74">
        <v>0.45761232617760489</v>
      </c>
      <c r="E74">
        <v>3.1617522898418188E-5</v>
      </c>
      <c r="F74">
        <f t="shared" si="2"/>
        <v>0.15</v>
      </c>
    </row>
    <row r="75" spans="1:6" hidden="1" x14ac:dyDescent="0.25">
      <c r="A75">
        <v>0.87999999523162842</v>
      </c>
      <c r="B75">
        <v>0.37077632600581478</v>
      </c>
      <c r="C75">
        <v>0.31515601919504538</v>
      </c>
      <c r="D75">
        <v>0.44232458980248568</v>
      </c>
      <c r="E75">
        <v>4.4390847967945427E-5</v>
      </c>
      <c r="F75">
        <f t="shared" si="2"/>
        <v>0.15</v>
      </c>
    </row>
    <row r="76" spans="1:6" hidden="1" x14ac:dyDescent="0.25">
      <c r="A76">
        <v>0.87999999523162842</v>
      </c>
      <c r="B76">
        <v>0.46394807040744562</v>
      </c>
      <c r="C76">
        <v>0.46157621245978731</v>
      </c>
      <c r="D76">
        <v>0.25604802335195909</v>
      </c>
      <c r="E76">
        <v>8.5003092674715354E-5</v>
      </c>
      <c r="F76">
        <f t="shared" si="2"/>
        <v>0.15</v>
      </c>
    </row>
    <row r="77" spans="1:6" hidden="1" x14ac:dyDescent="0.25">
      <c r="A77">
        <v>0.87999999523162842</v>
      </c>
      <c r="B77">
        <v>0.36313180185639687</v>
      </c>
      <c r="C77">
        <v>0.38848431417970142</v>
      </c>
      <c r="D77">
        <v>0.36465368343921462</v>
      </c>
      <c r="E77">
        <v>5.1076165635529899E-5</v>
      </c>
      <c r="F77">
        <f t="shared" si="2"/>
        <v>0.15</v>
      </c>
    </row>
    <row r="78" spans="1:6" hidden="1" x14ac:dyDescent="0.25">
      <c r="A78">
        <v>0.87999999523162842</v>
      </c>
      <c r="B78">
        <v>0.26178512214849459</v>
      </c>
      <c r="C78">
        <v>0.26738160087142238</v>
      </c>
      <c r="D78">
        <v>0.44389982891000102</v>
      </c>
      <c r="E78">
        <v>4.0941752190591768E-5</v>
      </c>
      <c r="F78">
        <f t="shared" si="2"/>
        <v>0.15</v>
      </c>
    </row>
    <row r="79" spans="1:6" hidden="1" x14ac:dyDescent="0.25">
      <c r="A79">
        <v>0.87999999523162842</v>
      </c>
      <c r="B79">
        <v>0.32201783748535012</v>
      </c>
      <c r="C79">
        <v>0.4520127910694583</v>
      </c>
      <c r="D79">
        <v>0.33431291270420999</v>
      </c>
      <c r="E79">
        <v>4.7570870939544978E-5</v>
      </c>
      <c r="F79">
        <f t="shared" si="2"/>
        <v>0.15</v>
      </c>
    </row>
    <row r="80" spans="1:6" hidden="1" x14ac:dyDescent="0.25">
      <c r="A80">
        <v>0.87999999523162842</v>
      </c>
      <c r="B80">
        <v>0.26923075768226112</v>
      </c>
      <c r="C80">
        <v>0.48016703073600181</v>
      </c>
      <c r="D80">
        <v>0.41763460093447258</v>
      </c>
      <c r="E80">
        <v>6.992865858493134E-5</v>
      </c>
      <c r="F80">
        <f t="shared" si="2"/>
        <v>0.15</v>
      </c>
    </row>
    <row r="81" spans="1:6" hidden="1" x14ac:dyDescent="0.25">
      <c r="A81">
        <v>0.87999999523162842</v>
      </c>
      <c r="B81">
        <v>0.23282907235815051</v>
      </c>
      <c r="C81">
        <v>0.33246908740273629</v>
      </c>
      <c r="D81">
        <v>0.4162516358541889</v>
      </c>
      <c r="E81">
        <v>3.0069688186458869E-5</v>
      </c>
      <c r="F81">
        <f t="shared" si="2"/>
        <v>0.15</v>
      </c>
    </row>
    <row r="82" spans="1:6" hidden="1" x14ac:dyDescent="0.25">
      <c r="A82">
        <v>0.87999999523162842</v>
      </c>
      <c r="B82">
        <v>0.40571687649291632</v>
      </c>
      <c r="C82">
        <v>0.21329763140153679</v>
      </c>
      <c r="D82">
        <v>0.40731410748498142</v>
      </c>
      <c r="E82">
        <v>3.7863430824885159E-5</v>
      </c>
      <c r="F82">
        <f t="shared" si="2"/>
        <v>0.15</v>
      </c>
    </row>
    <row r="83" spans="1:6" hidden="1" x14ac:dyDescent="0.25">
      <c r="A83">
        <v>0.87999999523162842</v>
      </c>
      <c r="B83">
        <v>0.44949040388900002</v>
      </c>
      <c r="C83">
        <v>0.41585192493090362</v>
      </c>
      <c r="D83">
        <v>0.43778543839226891</v>
      </c>
      <c r="E83">
        <v>2.7331650458987321E-5</v>
      </c>
      <c r="F83">
        <f t="shared" si="2"/>
        <v>0.15</v>
      </c>
    </row>
    <row r="84" spans="1:6" hidden="1" x14ac:dyDescent="0.25">
      <c r="A84">
        <v>0.87999999523162842</v>
      </c>
      <c r="B84">
        <v>0.45245944521521297</v>
      </c>
      <c r="C84">
        <v>0.33848599805012619</v>
      </c>
      <c r="D84">
        <v>0.38658900110971428</v>
      </c>
      <c r="E84">
        <v>5.8427122701551442E-5</v>
      </c>
      <c r="F84">
        <f t="shared" si="2"/>
        <v>0.15</v>
      </c>
    </row>
    <row r="85" spans="1:6" hidden="1" x14ac:dyDescent="0.25">
      <c r="A85">
        <v>0.86000001430511475</v>
      </c>
      <c r="B85">
        <v>0.25818328000105439</v>
      </c>
      <c r="C85">
        <v>0.31162399546034381</v>
      </c>
      <c r="D85">
        <v>0.20842890433584171</v>
      </c>
      <c r="E85">
        <v>2.4945669739170209E-5</v>
      </c>
      <c r="F85">
        <f t="shared" si="2"/>
        <v>0.15</v>
      </c>
    </row>
    <row r="86" spans="1:6" hidden="1" x14ac:dyDescent="0.25">
      <c r="A86">
        <v>0.86000001430511475</v>
      </c>
      <c r="B86">
        <v>0.30482383953806957</v>
      </c>
      <c r="C86">
        <v>0.25789096315854337</v>
      </c>
      <c r="D86">
        <v>0.31054996510613769</v>
      </c>
      <c r="E86">
        <v>4.3791017663308602E-5</v>
      </c>
      <c r="F86">
        <f t="shared" si="2"/>
        <v>0.15</v>
      </c>
    </row>
    <row r="87" spans="1:6" hidden="1" x14ac:dyDescent="0.25">
      <c r="A87">
        <v>0.86000001430511475</v>
      </c>
      <c r="B87">
        <v>0.36628634266244869</v>
      </c>
      <c r="C87">
        <v>0.37161551292184791</v>
      </c>
      <c r="D87">
        <v>0.42609875501486749</v>
      </c>
      <c r="E87">
        <v>5.119735295477127E-5</v>
      </c>
      <c r="F87">
        <f t="shared" si="2"/>
        <v>0.15</v>
      </c>
    </row>
    <row r="88" spans="1:6" hidden="1" x14ac:dyDescent="0.25">
      <c r="A88">
        <v>0.86000001430511475</v>
      </c>
      <c r="B88">
        <v>0.44382805221860638</v>
      </c>
      <c r="C88">
        <v>0.35457475849093473</v>
      </c>
      <c r="D88">
        <v>0.26845652131031378</v>
      </c>
      <c r="E88">
        <v>1.438221179185893E-5</v>
      </c>
      <c r="F88">
        <f t="shared" si="2"/>
        <v>0.15</v>
      </c>
    </row>
    <row r="89" spans="1:6" hidden="1" x14ac:dyDescent="0.25">
      <c r="A89">
        <v>0.86000001430511475</v>
      </c>
      <c r="B89">
        <v>0.47873449844323468</v>
      </c>
      <c r="C89">
        <v>0.36542172314029281</v>
      </c>
      <c r="D89">
        <v>0.2258386405406875</v>
      </c>
      <c r="E89">
        <v>6.2931721557797721E-5</v>
      </c>
      <c r="F89">
        <f t="shared" si="2"/>
        <v>0.15</v>
      </c>
    </row>
    <row r="90" spans="1:6" hidden="1" x14ac:dyDescent="0.25">
      <c r="A90">
        <v>0.86000001430511475</v>
      </c>
      <c r="B90">
        <v>0.43844047284924142</v>
      </c>
      <c r="C90">
        <v>0.30855174337590002</v>
      </c>
      <c r="D90">
        <v>0.25955032422036572</v>
      </c>
      <c r="E90">
        <v>4.0587329711817042E-5</v>
      </c>
      <c r="F90">
        <f t="shared" si="2"/>
        <v>0.15</v>
      </c>
    </row>
    <row r="91" spans="1:6" hidden="1" x14ac:dyDescent="0.25">
      <c r="A91">
        <v>0.86000001430511475</v>
      </c>
      <c r="B91">
        <v>0.36718355624430021</v>
      </c>
      <c r="C91">
        <v>0.33627230027398869</v>
      </c>
      <c r="D91">
        <v>0.40018225031693999</v>
      </c>
      <c r="E91">
        <v>7.2605480898926516E-5</v>
      </c>
      <c r="F91">
        <f t="shared" si="2"/>
        <v>0.15</v>
      </c>
    </row>
    <row r="92" spans="1:6" hidden="1" x14ac:dyDescent="0.25">
      <c r="A92">
        <v>0.86000001430511475</v>
      </c>
      <c r="B92">
        <v>0.30793798827980601</v>
      </c>
      <c r="C92">
        <v>0.37613297254948003</v>
      </c>
      <c r="D92">
        <v>0.22901280319343259</v>
      </c>
      <c r="E92">
        <v>4.5616177157703897E-5</v>
      </c>
      <c r="F92">
        <f t="shared" si="2"/>
        <v>0.15</v>
      </c>
    </row>
    <row r="93" spans="1:6" hidden="1" x14ac:dyDescent="0.25">
      <c r="A93">
        <v>0.86000001430511475</v>
      </c>
      <c r="B93">
        <v>0.48729406814749532</v>
      </c>
      <c r="C93">
        <v>0.36047753945694178</v>
      </c>
      <c r="D93">
        <v>0.35447801653892741</v>
      </c>
      <c r="E93">
        <v>7.5095405814301175E-5</v>
      </c>
      <c r="F93">
        <f t="shared" si="2"/>
        <v>0.15</v>
      </c>
    </row>
    <row r="94" spans="1:6" hidden="1" x14ac:dyDescent="0.25">
      <c r="A94">
        <v>0.86000001430511475</v>
      </c>
      <c r="B94">
        <v>0.41290739629348022</v>
      </c>
      <c r="C94">
        <v>0.31469702215840611</v>
      </c>
      <c r="D94">
        <v>0.24101019465308729</v>
      </c>
      <c r="E94">
        <v>2.623936187530038E-5</v>
      </c>
      <c r="F94">
        <f t="shared" si="2"/>
        <v>0.15</v>
      </c>
    </row>
    <row r="95" spans="1:6" hidden="1" x14ac:dyDescent="0.25">
      <c r="A95">
        <v>0.86000001430511475</v>
      </c>
      <c r="B95">
        <v>0.3576858858407338</v>
      </c>
      <c r="C95">
        <v>0.29587250094765999</v>
      </c>
      <c r="D95">
        <v>0.37440886455045141</v>
      </c>
      <c r="E95">
        <v>4.0360200458825469E-5</v>
      </c>
      <c r="F95">
        <f t="shared" si="2"/>
        <v>0.15</v>
      </c>
    </row>
    <row r="96" spans="1:6" hidden="1" x14ac:dyDescent="0.25">
      <c r="A96">
        <v>0.86000001430511475</v>
      </c>
      <c r="B96">
        <v>0.42191416112363561</v>
      </c>
      <c r="C96">
        <v>0.25492009294545059</v>
      </c>
      <c r="D96">
        <v>0.46729446237509831</v>
      </c>
      <c r="E96">
        <v>4.8093072311495383E-5</v>
      </c>
      <c r="F96">
        <f t="shared" si="2"/>
        <v>0.15</v>
      </c>
    </row>
    <row r="97" spans="1:6" hidden="1" x14ac:dyDescent="0.25">
      <c r="A97">
        <v>0.86000001430511475</v>
      </c>
      <c r="B97">
        <v>0.46641809548578939</v>
      </c>
      <c r="C97">
        <v>0.2194223005041262</v>
      </c>
      <c r="D97">
        <v>0.27002877497737288</v>
      </c>
      <c r="E97">
        <v>3.7595448652912891E-5</v>
      </c>
      <c r="F97">
        <f t="shared" si="2"/>
        <v>0.15</v>
      </c>
    </row>
    <row r="98" spans="1:6" hidden="1" x14ac:dyDescent="0.25">
      <c r="A98">
        <v>0.86000001430511475</v>
      </c>
      <c r="B98">
        <v>0.33387685039430631</v>
      </c>
      <c r="C98">
        <v>0.4335139655168424</v>
      </c>
      <c r="D98">
        <v>0.44033910514270691</v>
      </c>
      <c r="E98">
        <v>6.9541269188739567E-5</v>
      </c>
      <c r="F98">
        <f t="shared" ref="F98:F119" si="3">0.6/4</f>
        <v>0.15</v>
      </c>
    </row>
    <row r="99" spans="1:6" hidden="1" x14ac:dyDescent="0.25">
      <c r="A99">
        <v>0.86000001430511475</v>
      </c>
      <c r="B99">
        <v>0.44432796902376631</v>
      </c>
      <c r="C99">
        <v>0.28617645368188682</v>
      </c>
      <c r="D99">
        <v>0.23347186232473821</v>
      </c>
      <c r="E99">
        <v>1.184361700820545E-5</v>
      </c>
      <c r="F99">
        <f t="shared" si="3"/>
        <v>0.15</v>
      </c>
    </row>
    <row r="100" spans="1:6" hidden="1" x14ac:dyDescent="0.25">
      <c r="A100">
        <v>0.86000001430511475</v>
      </c>
      <c r="B100">
        <v>0.28104849121440351</v>
      </c>
      <c r="C100">
        <v>0.38376560263213422</v>
      </c>
      <c r="D100">
        <v>0.48981813540280089</v>
      </c>
      <c r="E100">
        <v>7.7237577583525732E-5</v>
      </c>
      <c r="F100">
        <f t="shared" si="3"/>
        <v>0.15</v>
      </c>
    </row>
    <row r="101" spans="1:6" hidden="1" x14ac:dyDescent="0.25">
      <c r="A101">
        <v>0.86000001430511475</v>
      </c>
      <c r="B101">
        <v>0.24931459730700289</v>
      </c>
      <c r="C101">
        <v>0.24564579931709909</v>
      </c>
      <c r="D101">
        <v>0.47230730649738212</v>
      </c>
      <c r="E101">
        <v>3.596324093098646E-5</v>
      </c>
      <c r="F101">
        <f t="shared" si="3"/>
        <v>0.15</v>
      </c>
    </row>
    <row r="102" spans="1:6" hidden="1" x14ac:dyDescent="0.25">
      <c r="A102">
        <v>0.86000001430511475</v>
      </c>
      <c r="B102">
        <v>0.30331429313788599</v>
      </c>
      <c r="C102">
        <v>0.2087660770137133</v>
      </c>
      <c r="D102">
        <v>0.34835353990394002</v>
      </c>
      <c r="E102">
        <v>3.0546094416491317E-5</v>
      </c>
      <c r="F102">
        <f t="shared" si="3"/>
        <v>0.15</v>
      </c>
    </row>
    <row r="103" spans="1:6" hidden="1" x14ac:dyDescent="0.25">
      <c r="A103">
        <v>0.86000001430511475</v>
      </c>
      <c r="B103">
        <v>0.2017874794020372</v>
      </c>
      <c r="C103">
        <v>0.25722288163974732</v>
      </c>
      <c r="D103">
        <v>0.49962588471712199</v>
      </c>
      <c r="E103">
        <v>8.609439329779195E-5</v>
      </c>
      <c r="F103">
        <f t="shared" si="3"/>
        <v>0.15</v>
      </c>
    </row>
    <row r="104" spans="1:6" hidden="1" x14ac:dyDescent="0.25">
      <c r="A104">
        <v>0.86000001430511475</v>
      </c>
      <c r="B104">
        <v>0.43594940836381729</v>
      </c>
      <c r="C104">
        <v>0.31458501755005869</v>
      </c>
      <c r="D104">
        <v>0.39304994345089561</v>
      </c>
      <c r="E104">
        <v>3.2122263741431149E-5</v>
      </c>
      <c r="F104">
        <f t="shared" si="3"/>
        <v>0.15</v>
      </c>
    </row>
    <row r="105" spans="1:6" hidden="1" x14ac:dyDescent="0.25">
      <c r="A105">
        <v>0.86000001430511475</v>
      </c>
      <c r="B105">
        <v>0.39990715135509541</v>
      </c>
      <c r="C105">
        <v>0.48960242257750342</v>
      </c>
      <c r="D105">
        <v>0.37918625474953521</v>
      </c>
      <c r="E105">
        <v>9.5599658289003282E-5</v>
      </c>
      <c r="F105">
        <f t="shared" si="3"/>
        <v>0.15</v>
      </c>
    </row>
    <row r="106" spans="1:6" hidden="1" x14ac:dyDescent="0.25">
      <c r="A106">
        <v>0.86000001430511475</v>
      </c>
      <c r="B106">
        <v>0.40777047388736348</v>
      </c>
      <c r="C106">
        <v>0.20031863861734339</v>
      </c>
      <c r="D106">
        <v>0.37193060270538048</v>
      </c>
      <c r="E106">
        <v>2.754288262921827E-5</v>
      </c>
      <c r="F106">
        <f t="shared" si="3"/>
        <v>0.15</v>
      </c>
    </row>
    <row r="107" spans="1:6" hidden="1" x14ac:dyDescent="0.25">
      <c r="A107">
        <v>0.86000001430511475</v>
      </c>
      <c r="B107">
        <v>0.4185262378893112</v>
      </c>
      <c r="C107">
        <v>0.38220771158293609</v>
      </c>
      <c r="D107">
        <v>0.33442875345168738</v>
      </c>
      <c r="E107">
        <v>6.1335473355746833E-5</v>
      </c>
      <c r="F107">
        <f t="shared" si="3"/>
        <v>0.15</v>
      </c>
    </row>
    <row r="108" spans="1:6" hidden="1" x14ac:dyDescent="0.25">
      <c r="A108">
        <v>0.86000001430511475</v>
      </c>
      <c r="B108">
        <v>0.44667828788870728</v>
      </c>
      <c r="C108">
        <v>0.31663122478916728</v>
      </c>
      <c r="D108">
        <v>0.2200083588433806</v>
      </c>
      <c r="E108">
        <v>5.306980863045594E-5</v>
      </c>
      <c r="F108">
        <f t="shared" si="3"/>
        <v>0.15</v>
      </c>
    </row>
    <row r="109" spans="1:6" hidden="1" x14ac:dyDescent="0.25">
      <c r="A109">
        <v>0.8399999737739563</v>
      </c>
      <c r="B109">
        <v>0.44216439138226782</v>
      </c>
      <c r="C109">
        <v>0.4047560204290071</v>
      </c>
      <c r="D109">
        <v>0.26469338231837558</v>
      </c>
      <c r="E109">
        <v>5.4079256005291437E-5</v>
      </c>
      <c r="F109">
        <f t="shared" si="3"/>
        <v>0.15</v>
      </c>
    </row>
    <row r="110" spans="1:6" hidden="1" x14ac:dyDescent="0.25">
      <c r="A110">
        <v>0.8399999737739563</v>
      </c>
      <c r="B110">
        <v>0.43301877354423102</v>
      </c>
      <c r="C110">
        <v>0.2719345577542126</v>
      </c>
      <c r="D110">
        <v>0.42406146358012442</v>
      </c>
      <c r="E110">
        <v>5.1473664163156167E-5</v>
      </c>
      <c r="F110">
        <f t="shared" si="3"/>
        <v>0.15</v>
      </c>
    </row>
    <row r="111" spans="1:6" hidden="1" x14ac:dyDescent="0.25">
      <c r="A111">
        <v>0.8399999737739563</v>
      </c>
      <c r="B111">
        <v>0.35145306070308402</v>
      </c>
      <c r="C111">
        <v>0.44316581046405912</v>
      </c>
      <c r="D111">
        <v>0.34243418795314629</v>
      </c>
      <c r="E111">
        <v>4.1738470633994137E-5</v>
      </c>
      <c r="F111">
        <f t="shared" si="3"/>
        <v>0.15</v>
      </c>
    </row>
    <row r="112" spans="1:6" hidden="1" x14ac:dyDescent="0.25">
      <c r="A112">
        <v>0.8399999737739563</v>
      </c>
      <c r="B112">
        <v>0.22827282828096551</v>
      </c>
      <c r="C112">
        <v>0.45668530783063332</v>
      </c>
      <c r="D112">
        <v>0.42009789148030219</v>
      </c>
      <c r="E112">
        <v>8.0885174592476146E-5</v>
      </c>
      <c r="F112">
        <f t="shared" si="3"/>
        <v>0.15</v>
      </c>
    </row>
    <row r="113" spans="1:6" hidden="1" x14ac:dyDescent="0.25">
      <c r="A113">
        <v>0.8399999737739563</v>
      </c>
      <c r="B113">
        <v>0.44261987929263857</v>
      </c>
      <c r="C113">
        <v>0.3388034173673623</v>
      </c>
      <c r="D113">
        <v>0.2489077347918825</v>
      </c>
      <c r="E113">
        <v>6.9601432845487588E-5</v>
      </c>
      <c r="F113">
        <f t="shared" si="3"/>
        <v>0.15</v>
      </c>
    </row>
    <row r="114" spans="1:6" hidden="1" x14ac:dyDescent="0.25">
      <c r="A114">
        <v>0.81999999284744263</v>
      </c>
      <c r="B114">
        <v>0.49228353713300771</v>
      </c>
      <c r="C114">
        <v>0.40892824693219842</v>
      </c>
      <c r="D114">
        <v>0.36333214996270041</v>
      </c>
      <c r="E114">
        <v>6.9204511924704853E-5</v>
      </c>
      <c r="F114">
        <f t="shared" si="3"/>
        <v>0.15</v>
      </c>
    </row>
    <row r="115" spans="1:6" hidden="1" x14ac:dyDescent="0.25">
      <c r="A115">
        <v>0.81999999284744263</v>
      </c>
      <c r="B115">
        <v>0.31725902758711277</v>
      </c>
      <c r="C115">
        <v>0.32886480682454933</v>
      </c>
      <c r="D115">
        <v>0.42990122115076251</v>
      </c>
      <c r="E115">
        <v>6.1230824655275526E-5</v>
      </c>
      <c r="F115">
        <f t="shared" si="3"/>
        <v>0.15</v>
      </c>
    </row>
    <row r="116" spans="1:6" hidden="1" x14ac:dyDescent="0.25">
      <c r="A116">
        <v>0.81999999284744263</v>
      </c>
      <c r="B116">
        <v>0.41020110819040551</v>
      </c>
      <c r="C116">
        <v>0.38982682120274409</v>
      </c>
      <c r="D116">
        <v>0.27073246536339213</v>
      </c>
      <c r="E116">
        <v>7.2511372416686232E-5</v>
      </c>
      <c r="F116">
        <f t="shared" si="3"/>
        <v>0.15</v>
      </c>
    </row>
    <row r="117" spans="1:6" hidden="1" x14ac:dyDescent="0.25">
      <c r="A117">
        <v>0.80000001192092896</v>
      </c>
      <c r="B117">
        <v>0.4783213779834764</v>
      </c>
      <c r="C117">
        <v>0.43332848199025348</v>
      </c>
      <c r="D117">
        <v>0.41702301195350538</v>
      </c>
      <c r="E117">
        <v>3.5497644456664211E-5</v>
      </c>
      <c r="F117">
        <f t="shared" si="3"/>
        <v>0.15</v>
      </c>
    </row>
    <row r="118" spans="1:6" hidden="1" x14ac:dyDescent="0.25">
      <c r="A118">
        <v>0.68000000715255737</v>
      </c>
      <c r="B118">
        <v>0.43331078187899807</v>
      </c>
      <c r="C118">
        <v>0.44897782321193991</v>
      </c>
      <c r="D118">
        <v>0.27981398515577721</v>
      </c>
      <c r="E118">
        <v>7.6055656836866435E-5</v>
      </c>
      <c r="F118">
        <f t="shared" si="3"/>
        <v>0.15</v>
      </c>
    </row>
    <row r="119" spans="1:6" hidden="1" x14ac:dyDescent="0.25">
      <c r="A119">
        <v>0.6600000262260437</v>
      </c>
      <c r="B119">
        <v>0.29309159789561318</v>
      </c>
      <c r="C119">
        <v>0.26541329486985221</v>
      </c>
      <c r="D119">
        <v>0.46510362966487551</v>
      </c>
      <c r="E119">
        <v>9.9854606454813813E-5</v>
      </c>
      <c r="F119">
        <f t="shared" si="3"/>
        <v>0.15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0289-7335-4F1D-89C4-CE647F8037D4}">
  <dimension ref="A1:M26"/>
  <sheetViews>
    <sheetView tabSelected="1" topLeftCell="D1" workbookViewId="0">
      <selection activeCell="L11" sqref="L11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14.5703125" bestFit="1" customWidth="1"/>
    <col min="4" max="4" width="12.42578125" bestFit="1" customWidth="1"/>
    <col min="5" max="5" width="13" bestFit="1" customWidth="1"/>
    <col min="6" max="6" width="14.5703125" bestFit="1" customWidth="1"/>
    <col min="7" max="7" width="12.42578125" bestFit="1" customWidth="1"/>
    <col min="8" max="8" width="13" bestFit="1" customWidth="1"/>
    <col min="9" max="9" width="14.5703125" bestFit="1" customWidth="1"/>
    <col min="10" max="10" width="12.42578125" bestFit="1" customWidth="1"/>
    <col min="11" max="11" width="13" bestFit="1" customWidth="1"/>
    <col min="13" max="13" width="12.85546875" bestFit="1" customWidth="1"/>
  </cols>
  <sheetData>
    <row r="1" spans="1:13" x14ac:dyDescent="0.2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8</v>
      </c>
      <c r="G1" t="s">
        <v>9</v>
      </c>
      <c r="H1" t="s">
        <v>2</v>
      </c>
      <c r="I1" t="s">
        <v>10</v>
      </c>
      <c r="J1" t="s">
        <v>11</v>
      </c>
      <c r="K1" t="s">
        <v>3</v>
      </c>
      <c r="M1" t="s">
        <v>4</v>
      </c>
    </row>
    <row r="2" spans="1:13" x14ac:dyDescent="0.25">
      <c r="A2">
        <v>0.95999997854232788</v>
      </c>
      <c r="B2">
        <v>3</v>
      </c>
      <c r="C2" t="s">
        <v>12</v>
      </c>
      <c r="D2">
        <v>5</v>
      </c>
      <c r="E2">
        <v>0.42017891549035302</v>
      </c>
      <c r="F2" t="s">
        <v>12</v>
      </c>
      <c r="G2">
        <v>13</v>
      </c>
      <c r="H2">
        <v>0.44896425794181738</v>
      </c>
      <c r="I2" t="s">
        <v>13</v>
      </c>
      <c r="J2">
        <v>24</v>
      </c>
      <c r="K2">
        <v>0.40270447178276753</v>
      </c>
      <c r="M2">
        <v>1.0367462511697821E-5</v>
      </c>
    </row>
    <row r="3" spans="1:13" x14ac:dyDescent="0.25">
      <c r="A3" s="2">
        <v>0.95999997854232788</v>
      </c>
      <c r="B3" s="2">
        <v>3</v>
      </c>
      <c r="C3" s="2" t="s">
        <v>12</v>
      </c>
      <c r="D3" s="2">
        <v>5</v>
      </c>
      <c r="E3" s="2">
        <v>0.36541966474114451</v>
      </c>
      <c r="F3" s="2" t="s">
        <v>12</v>
      </c>
      <c r="G3" s="2">
        <v>13</v>
      </c>
      <c r="H3" s="2">
        <v>0.41389238850802429</v>
      </c>
      <c r="I3" s="2" t="s">
        <v>13</v>
      </c>
      <c r="J3" s="2">
        <v>24</v>
      </c>
      <c r="K3" s="2">
        <v>0.37417482178871542</v>
      </c>
      <c r="M3">
        <v>3.679644976762846E-5</v>
      </c>
    </row>
    <row r="4" spans="1:13" x14ac:dyDescent="0.25">
      <c r="A4">
        <v>0.93999999761581421</v>
      </c>
      <c r="B4">
        <v>3</v>
      </c>
      <c r="C4" t="s">
        <v>14</v>
      </c>
      <c r="D4">
        <v>5</v>
      </c>
      <c r="E4">
        <v>0.42480333031786027</v>
      </c>
      <c r="F4" t="s">
        <v>12</v>
      </c>
      <c r="G4">
        <v>13</v>
      </c>
      <c r="H4">
        <v>0.4550187317627894</v>
      </c>
      <c r="I4" t="s">
        <v>14</v>
      </c>
      <c r="J4">
        <v>18</v>
      </c>
      <c r="K4">
        <v>0.30872939687310219</v>
      </c>
      <c r="M4" s="5">
        <f>SUM(M2:M3)</f>
        <v>4.7163912279326282E-5</v>
      </c>
    </row>
    <row r="5" spans="1:13" x14ac:dyDescent="0.25">
      <c r="A5">
        <v>0.93999999761581421</v>
      </c>
      <c r="B5">
        <v>2</v>
      </c>
      <c r="C5" t="s">
        <v>15</v>
      </c>
      <c r="D5">
        <v>33</v>
      </c>
      <c r="E5">
        <v>0.36353249402275217</v>
      </c>
      <c r="F5" t="s">
        <v>12</v>
      </c>
      <c r="G5">
        <v>14</v>
      </c>
      <c r="H5">
        <v>0.39475637757696608</v>
      </c>
      <c r="J5">
        <v>0</v>
      </c>
      <c r="M5">
        <v>4.7163912279326282E-5</v>
      </c>
    </row>
    <row r="6" spans="1:13" x14ac:dyDescent="0.25">
      <c r="A6">
        <v>0.93999999761581421</v>
      </c>
      <c r="B6">
        <v>3</v>
      </c>
      <c r="C6" t="s">
        <v>14</v>
      </c>
      <c r="D6">
        <v>14</v>
      </c>
      <c r="E6">
        <v>0.47120320289490658</v>
      </c>
      <c r="F6" t="s">
        <v>12</v>
      </c>
      <c r="G6">
        <v>77</v>
      </c>
      <c r="H6">
        <v>0.29676279685858309</v>
      </c>
      <c r="I6" t="s">
        <v>16</v>
      </c>
      <c r="J6">
        <v>13</v>
      </c>
      <c r="K6">
        <v>0.34838968700959322</v>
      </c>
    </row>
    <row r="7" spans="1:13" x14ac:dyDescent="0.25">
      <c r="A7">
        <v>0.93999999761581421</v>
      </c>
      <c r="B7">
        <v>3</v>
      </c>
      <c r="C7" t="s">
        <v>12</v>
      </c>
      <c r="D7">
        <v>32</v>
      </c>
      <c r="E7">
        <v>0.34964707321277527</v>
      </c>
      <c r="F7" t="s">
        <v>14</v>
      </c>
      <c r="G7">
        <v>6</v>
      </c>
      <c r="H7">
        <v>0.34860399642100393</v>
      </c>
      <c r="I7" t="s">
        <v>13</v>
      </c>
      <c r="J7">
        <v>20</v>
      </c>
      <c r="K7">
        <v>0.43783557790824151</v>
      </c>
    </row>
    <row r="8" spans="1:13" x14ac:dyDescent="0.25">
      <c r="A8">
        <v>0.93999999761581421</v>
      </c>
      <c r="B8">
        <v>3</v>
      </c>
      <c r="C8" t="s">
        <v>15</v>
      </c>
      <c r="D8">
        <v>27</v>
      </c>
      <c r="E8">
        <v>0.45285316507732659</v>
      </c>
      <c r="F8" t="s">
        <v>12</v>
      </c>
      <c r="G8">
        <v>19</v>
      </c>
      <c r="H8">
        <v>0.37415285301222828</v>
      </c>
      <c r="I8" t="s">
        <v>14</v>
      </c>
      <c r="J8">
        <v>8</v>
      </c>
      <c r="K8">
        <v>0.31045942966635409</v>
      </c>
    </row>
    <row r="9" spans="1:13" x14ac:dyDescent="0.25">
      <c r="A9">
        <v>0.93999999761581421</v>
      </c>
      <c r="B9">
        <v>3</v>
      </c>
      <c r="C9" t="s">
        <v>15</v>
      </c>
      <c r="D9">
        <v>46</v>
      </c>
      <c r="E9">
        <v>0.28019864664696681</v>
      </c>
      <c r="F9" t="s">
        <v>13</v>
      </c>
      <c r="G9">
        <v>12</v>
      </c>
      <c r="H9">
        <v>0.36520297060139317</v>
      </c>
      <c r="I9" t="s">
        <v>13</v>
      </c>
      <c r="J9">
        <v>14</v>
      </c>
      <c r="K9">
        <v>0.31771046435278832</v>
      </c>
    </row>
    <row r="10" spans="1:13" x14ac:dyDescent="0.25">
      <c r="A10">
        <v>0.93999999761581421</v>
      </c>
      <c r="B10">
        <v>3</v>
      </c>
      <c r="C10" t="s">
        <v>15</v>
      </c>
      <c r="D10">
        <v>40</v>
      </c>
      <c r="E10">
        <v>0.44745917317907119</v>
      </c>
      <c r="F10" t="s">
        <v>14</v>
      </c>
      <c r="G10">
        <v>6</v>
      </c>
      <c r="H10">
        <v>0.40214779517210059</v>
      </c>
      <c r="I10" t="s">
        <v>13</v>
      </c>
      <c r="J10">
        <v>5</v>
      </c>
      <c r="K10">
        <v>0.34915717140362013</v>
      </c>
    </row>
    <row r="11" spans="1:13" x14ac:dyDescent="0.25">
      <c r="A11">
        <v>0.93999999761581421</v>
      </c>
      <c r="B11">
        <v>3</v>
      </c>
      <c r="C11" t="s">
        <v>15</v>
      </c>
      <c r="D11">
        <v>30</v>
      </c>
      <c r="E11">
        <v>0.28567666693114041</v>
      </c>
      <c r="F11" t="s">
        <v>13</v>
      </c>
      <c r="G11">
        <v>6</v>
      </c>
      <c r="H11">
        <v>0.39318896043833829</v>
      </c>
      <c r="I11" t="s">
        <v>13</v>
      </c>
      <c r="J11">
        <v>14</v>
      </c>
      <c r="K11">
        <v>0.29495318005219873</v>
      </c>
    </row>
    <row r="12" spans="1:13" x14ac:dyDescent="0.25">
      <c r="A12">
        <v>0.93999999761581421</v>
      </c>
      <c r="B12">
        <v>3</v>
      </c>
      <c r="C12" t="s">
        <v>14</v>
      </c>
      <c r="D12">
        <v>11</v>
      </c>
      <c r="E12">
        <v>0.4590639630365993</v>
      </c>
      <c r="F12" t="s">
        <v>12</v>
      </c>
      <c r="G12">
        <v>70</v>
      </c>
      <c r="H12">
        <v>0.303956075088405</v>
      </c>
      <c r="I12" t="s">
        <v>16</v>
      </c>
      <c r="J12">
        <v>11</v>
      </c>
      <c r="K12">
        <v>0.34739767538706717</v>
      </c>
    </row>
    <row r="13" spans="1:13" x14ac:dyDescent="0.25">
      <c r="A13">
        <v>0.93999999761581421</v>
      </c>
      <c r="B13">
        <v>3</v>
      </c>
      <c r="C13" t="s">
        <v>14</v>
      </c>
      <c r="D13">
        <v>10</v>
      </c>
      <c r="E13">
        <v>0.28600196364150132</v>
      </c>
      <c r="F13" t="s">
        <v>12</v>
      </c>
      <c r="G13">
        <v>78</v>
      </c>
      <c r="H13">
        <v>0.35511919663091202</v>
      </c>
      <c r="I13" t="s">
        <v>16</v>
      </c>
      <c r="J13">
        <v>11</v>
      </c>
      <c r="K13">
        <v>0.37659312667149142</v>
      </c>
    </row>
    <row r="14" spans="1:13" x14ac:dyDescent="0.25">
      <c r="A14">
        <v>0.93999999761581421</v>
      </c>
      <c r="B14">
        <v>2</v>
      </c>
      <c r="C14" t="s">
        <v>14</v>
      </c>
      <c r="D14">
        <v>28</v>
      </c>
      <c r="E14">
        <v>0.28239604252525041</v>
      </c>
      <c r="F14" t="s">
        <v>13</v>
      </c>
      <c r="G14">
        <v>24</v>
      </c>
      <c r="H14">
        <v>0.39447532747095632</v>
      </c>
      <c r="J14">
        <v>0</v>
      </c>
    </row>
    <row r="15" spans="1:13" x14ac:dyDescent="0.25">
      <c r="A15">
        <v>0.93999999761581421</v>
      </c>
      <c r="B15">
        <v>3</v>
      </c>
      <c r="C15" t="s">
        <v>15</v>
      </c>
      <c r="D15">
        <v>6</v>
      </c>
      <c r="E15">
        <v>0.28228600751105137</v>
      </c>
      <c r="F15" t="s">
        <v>12</v>
      </c>
      <c r="G15">
        <v>7</v>
      </c>
      <c r="H15">
        <v>0.42215474547559378</v>
      </c>
      <c r="I15" t="s">
        <v>14</v>
      </c>
      <c r="J15">
        <v>23</v>
      </c>
      <c r="K15">
        <v>0.3409383581373352</v>
      </c>
    </row>
    <row r="16" spans="1:13" x14ac:dyDescent="0.25">
      <c r="A16">
        <v>0.93999999761581421</v>
      </c>
      <c r="B16">
        <v>2</v>
      </c>
      <c r="C16" t="s">
        <v>14</v>
      </c>
      <c r="D16">
        <v>30</v>
      </c>
      <c r="E16">
        <v>0.29001398338191819</v>
      </c>
      <c r="F16" t="s">
        <v>13</v>
      </c>
      <c r="G16">
        <v>48</v>
      </c>
      <c r="H16">
        <v>0.39567352677112511</v>
      </c>
      <c r="J16">
        <v>0</v>
      </c>
    </row>
    <row r="17" spans="1:11" x14ac:dyDescent="0.25">
      <c r="A17">
        <v>0.93999999761581421</v>
      </c>
      <c r="B17">
        <v>3</v>
      </c>
      <c r="C17" t="s">
        <v>15</v>
      </c>
      <c r="D17">
        <v>29</v>
      </c>
      <c r="E17">
        <v>0.30858101029391682</v>
      </c>
      <c r="F17" t="s">
        <v>12</v>
      </c>
      <c r="G17">
        <v>11</v>
      </c>
      <c r="H17">
        <v>0.36598531970766113</v>
      </c>
      <c r="I17" t="s">
        <v>16</v>
      </c>
      <c r="J17">
        <v>46</v>
      </c>
      <c r="K17">
        <v>0.30155965719473132</v>
      </c>
    </row>
    <row r="18" spans="1:11" x14ac:dyDescent="0.25">
      <c r="A18" s="2">
        <v>0.93999999761581421</v>
      </c>
      <c r="B18" s="2">
        <v>3</v>
      </c>
      <c r="C18" s="2" t="s">
        <v>12</v>
      </c>
      <c r="D18" s="2">
        <v>5</v>
      </c>
      <c r="E18" s="2">
        <v>0.23780987984043381</v>
      </c>
      <c r="F18" s="2" t="s">
        <v>12</v>
      </c>
      <c r="G18" s="2">
        <v>13</v>
      </c>
      <c r="H18" s="2">
        <v>0.40465305886685732</v>
      </c>
      <c r="I18" s="2" t="s">
        <v>13</v>
      </c>
      <c r="J18" s="2">
        <v>24</v>
      </c>
      <c r="K18" s="2">
        <v>0.29073681947626873</v>
      </c>
    </row>
    <row r="19" spans="1:11" x14ac:dyDescent="0.25">
      <c r="A19" s="3">
        <v>0.93999999761581421</v>
      </c>
      <c r="B19" s="3">
        <v>3</v>
      </c>
      <c r="C19" s="3" t="s">
        <v>12</v>
      </c>
      <c r="D19" s="3">
        <v>5</v>
      </c>
      <c r="E19" s="3">
        <v>0.34364832294356179</v>
      </c>
      <c r="F19" s="3" t="s">
        <v>12</v>
      </c>
      <c r="G19" s="3">
        <v>13</v>
      </c>
      <c r="H19" s="3">
        <v>0.32461386049473201</v>
      </c>
      <c r="I19" s="3" t="s">
        <v>13</v>
      </c>
      <c r="J19" s="3">
        <v>24</v>
      </c>
      <c r="K19" s="3">
        <v>0.39519071493448837</v>
      </c>
    </row>
    <row r="20" spans="1:11" x14ac:dyDescent="0.25">
      <c r="A20" s="3">
        <v>0.93999999761581421</v>
      </c>
      <c r="B20" s="3">
        <v>3</v>
      </c>
      <c r="C20" s="3" t="s">
        <v>12</v>
      </c>
      <c r="D20" s="3">
        <v>5</v>
      </c>
      <c r="E20" s="3">
        <v>0.46569517225212231</v>
      </c>
      <c r="F20" s="3" t="s">
        <v>12</v>
      </c>
      <c r="G20" s="3">
        <v>13</v>
      </c>
      <c r="H20" s="3">
        <v>0.31970347355271672</v>
      </c>
      <c r="I20" s="3" t="s">
        <v>13</v>
      </c>
      <c r="J20" s="3">
        <v>24</v>
      </c>
      <c r="K20" s="3">
        <v>0.29589587223726782</v>
      </c>
    </row>
    <row r="21" spans="1:11" x14ac:dyDescent="0.25">
      <c r="A21" s="3">
        <v>0.93999999761581421</v>
      </c>
      <c r="B21" s="3">
        <v>3</v>
      </c>
      <c r="C21" s="3" t="s">
        <v>12</v>
      </c>
      <c r="D21" s="3">
        <v>5</v>
      </c>
      <c r="E21" s="3">
        <v>0.43694656790535008</v>
      </c>
      <c r="F21" s="3" t="s">
        <v>12</v>
      </c>
      <c r="G21" s="3">
        <v>13</v>
      </c>
      <c r="H21" s="3">
        <v>0.39105993859327909</v>
      </c>
      <c r="I21" s="3" t="s">
        <v>13</v>
      </c>
      <c r="J21" s="3">
        <v>24</v>
      </c>
      <c r="K21" s="3">
        <v>0.25591466716878791</v>
      </c>
    </row>
    <row r="22" spans="1:11" x14ac:dyDescent="0.25">
      <c r="D22">
        <f>ROUND(SUBTOTAL(101,Table2[n_units_l0]),0)</f>
        <v>19</v>
      </c>
      <c r="E22">
        <f>SUBTOTAL(101,Table2[dropout_l0])</f>
        <v>0.36267076229230011</v>
      </c>
      <c r="G22">
        <f>ROUND(SUBTOTAL(101,Table2[n_units_l1]),0)</f>
        <v>23</v>
      </c>
      <c r="H22">
        <f>SUBTOTAL(101,Table2[dropout_l1])</f>
        <v>0.37850428254727408</v>
      </c>
      <c r="J22">
        <f>ROUND(SUBTOTAL(101,Table2[n_units_l2]),0)</f>
        <v>16</v>
      </c>
      <c r="K22">
        <f>SUBTOTAL(101,Table2[dropout_l2])</f>
        <v>0.33813771129675402</v>
      </c>
    </row>
    <row r="23" spans="1:11" x14ac:dyDescent="0.25">
      <c r="D23">
        <v>19</v>
      </c>
      <c r="E23">
        <v>0.36267076229230011</v>
      </c>
      <c r="G23">
        <v>23</v>
      </c>
      <c r="H23">
        <v>0.37850428254727408</v>
      </c>
      <c r="J23">
        <v>16</v>
      </c>
      <c r="K23">
        <v>0.33813771129675402</v>
      </c>
    </row>
    <row r="24" spans="1:11" x14ac:dyDescent="0.25">
      <c r="B24" t="s">
        <v>12</v>
      </c>
      <c r="C24">
        <f>COUNTIF(Table2[activation_l0],B24)/COUNTA(Table2[activation_l0])</f>
        <v>0.35</v>
      </c>
      <c r="E24" t="s">
        <v>12</v>
      </c>
      <c r="F24">
        <f>COUNTIF(Table2[activation_l1],E24)/COUNTA(Table2[activation_l1])</f>
        <v>0.7</v>
      </c>
      <c r="H24" t="s">
        <v>13</v>
      </c>
      <c r="I24">
        <f>COUNTIF(Table2[activation_l2],H24)/COUNTA(Table2[activation_l2])</f>
        <v>0.58823529411764708</v>
      </c>
    </row>
    <row r="25" spans="1:11" x14ac:dyDescent="0.25">
      <c r="B25" t="s">
        <v>14</v>
      </c>
      <c r="C25">
        <f>COUNTIF(Table2[activation_l0],B25)/COUNTA(Table2[activation_l0])</f>
        <v>0.3</v>
      </c>
      <c r="E25" t="s">
        <v>14</v>
      </c>
      <c r="F25">
        <f>COUNTIF(Table2[activation_l1],E25)/COUNTA(Table2[activation_l1])</f>
        <v>0.1</v>
      </c>
      <c r="H25" t="s">
        <v>14</v>
      </c>
      <c r="I25">
        <f>COUNTIF(Table2[activation_l2],H25)/COUNTA(Table2[activation_l2])</f>
        <v>0.17647058823529413</v>
      </c>
    </row>
    <row r="26" spans="1:11" x14ac:dyDescent="0.25">
      <c r="B26" t="s">
        <v>15</v>
      </c>
      <c r="C26">
        <f>COUNTIF(Table2[activation_l0],B26)/COUNTA(Table2[activation_l0])</f>
        <v>0.35</v>
      </c>
      <c r="E26" t="s">
        <v>13</v>
      </c>
      <c r="F26">
        <f>COUNTIF(Table2[activation_l1],E26)/COUNTA(Table2[activation_l1])</f>
        <v>0.2</v>
      </c>
      <c r="H26" t="s">
        <v>16</v>
      </c>
      <c r="I26">
        <f>COUNTIF(Table2[activation_l2],H26)/COUNTA(Table2[activation_l2])</f>
        <v>0.23529411764705882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Humberto Zuñiga Paredes</cp:lastModifiedBy>
  <dcterms:created xsi:type="dcterms:W3CDTF">2025-03-21T00:54:53Z</dcterms:created>
  <dcterms:modified xsi:type="dcterms:W3CDTF">2025-03-21T03:28:06Z</dcterms:modified>
</cp:coreProperties>
</file>